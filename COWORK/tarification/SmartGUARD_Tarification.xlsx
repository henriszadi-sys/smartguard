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ification" sheetId="1" state="visible" r:id="rId3"/>
    <sheet name="Simulateur" sheetId="2" state="visible" r:id="rId4"/>
    <sheet name="Exemp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<sst xmlns="http://schemas.openxmlformats.org/spreadsheetml/2006/main" count="100" uniqueCount="72">
  <si>
    <t xml:space="preserve">SmartGUARD — Grille tarifaire</t>
  </si>
  <si>
    <t xml:space="preserve">Montants en francs CFA (F CFA), hors taxes. Version 1.17 du cahier des charges, 1er octobre 2026. Chiffres en bleu : prix saisis (modifiables).</t>
  </si>
  <si>
    <t xml:space="preserve">1. Licence SmartGUARD (obligatoire, une par serveur contrôlé)</t>
  </si>
  <si>
    <t xml:space="preserve">Élément</t>
  </si>
  <si>
    <t xml:space="preserve">Prix</t>
  </si>
  <si>
    <t xml:space="preserve">Paiement</t>
  </si>
  <si>
    <t xml:space="preserve">Statut</t>
  </si>
  <si>
    <t xml:space="preserve">Licence perpétuelle par serveur (module complet, accès de base, notification e-mail J-30, correctifs)</t>
  </si>
  <si>
    <t xml:space="preserve">Une fois</t>
  </si>
  <si>
    <t xml:space="preserve">Validé</t>
  </si>
  <si>
    <t xml:space="preserve">Mise à niveau vers une version majeure (50 % de la licence)</t>
  </si>
  <si>
    <t xml:space="preserve">Une fois par serveur</t>
  </si>
  <si>
    <t xml:space="preserve">Proposition</t>
  </si>
  <si>
    <t xml:space="preserve">Transfert de la licence vers un nouveau serveur</t>
  </si>
  <si>
    <t xml:space="preserve">—</t>
  </si>
  <si>
    <t xml:space="preserve">2. Abonnement au portail (par compte fournisseur)</t>
  </si>
  <si>
    <t xml:space="preserve">Formule</t>
  </si>
  <si>
    <t xml:space="preserve">Serveurs rattachés (max)</t>
  </si>
  <si>
    <t xml:space="preserve">Mensuel</t>
  </si>
  <si>
    <t xml:space="preserve">Annuel</t>
  </si>
  <si>
    <t xml:space="preserve">Économie annuelle</t>
  </si>
  <si>
    <t xml:space="preserve">Utilisateurs inclus</t>
  </si>
  <si>
    <t xml:space="preserve">Essentiel</t>
  </si>
  <si>
    <t xml:space="preserve">Pro</t>
  </si>
  <si>
    <t xml:space="preserve">Entreprise</t>
  </si>
  <si>
    <t xml:space="preserve">Utilisateurs inclus : proposition. Formule Entreprise : au-delà de 50 serveurs (999 999 = sans limite).</t>
  </si>
  <si>
    <t xml:space="preserve">3. Options (nécessitent l'abonnement, prix selon la formule) — proposition</t>
  </si>
  <si>
    <t xml:space="preserve">Option</t>
  </si>
  <si>
    <t xml:space="preserve">Essentiel / mois</t>
  </si>
  <si>
    <t xml:space="preserve">Essentiel / an</t>
  </si>
  <si>
    <t xml:space="preserve">Pro / mois</t>
  </si>
  <si>
    <t xml:space="preserve">Pro / an</t>
  </si>
  <si>
    <t xml:space="preserve">Entreprise / mois</t>
  </si>
  <si>
    <t xml:space="preserve">Entreprise / an</t>
  </si>
  <si>
    <t xml:space="preserve">Application mobile du fournisseur</t>
  </si>
  <si>
    <t xml:space="preserve">Espace client (signalement, détection de panne, webhook)</t>
  </si>
  <si>
    <t xml:space="preserve">Utilisateur supplémentaire (par utilisateur)</t>
  </si>
  <si>
    <t xml:space="preserve">Alertes SMS et WhatsApp (version ultérieure)</t>
  </si>
  <si>
    <t xml:space="preserve">Selon consommation</t>
  </si>
  <si>
    <t xml:space="preserve">Base de calcul : mobile ≈ 25 % et espace client ≈ 50 % du prix de la formule ; environ 17 % d'économie à l'année.</t>
  </si>
  <si>
    <t xml:space="preserve">Simulateur de coût pour un fournisseur (formules annuelles)</t>
  </si>
  <si>
    <t xml:space="preserve">Cellules jaunes : à saisir. Les autres cellules se calculent.</t>
  </si>
  <si>
    <t xml:space="preserve">Nombre de serveurs (licences SmartGUARD)</t>
  </si>
  <si>
    <t xml:space="preserve">Serveurs rattachés au portail</t>
  </si>
  <si>
    <t xml:space="preserve">Abonnement au portail (Oui/Non)</t>
  </si>
  <si>
    <t xml:space="preserve">Oui</t>
  </si>
  <si>
    <t xml:space="preserve">Option application mobile (Oui/Non)</t>
  </si>
  <si>
    <t xml:space="preserve">Option espace client (Oui/Non)</t>
  </si>
  <si>
    <t xml:space="preserve">Utilisateurs supplémentaires</t>
  </si>
  <si>
    <t xml:space="preserve">Formule applicable</t>
  </si>
  <si>
    <t xml:space="preserve">Colonne de la formule (1 à 3)</t>
  </si>
  <si>
    <t xml:space="preserve">Poste</t>
  </si>
  <si>
    <t xml:space="preserve">Année 1</t>
  </si>
  <si>
    <t xml:space="preserve">Années suivantes</t>
  </si>
  <si>
    <t xml:space="preserve">Licences SmartGUARD</t>
  </si>
  <si>
    <t xml:space="preserve">Abonnement annuel</t>
  </si>
  <si>
    <t xml:space="preserve">Application mobile (annuel)</t>
  </si>
  <si>
    <t xml:space="preserve">Espace client (annuel)</t>
  </si>
  <si>
    <t xml:space="preserve">Utilisateurs supplémentaires (annuel)</t>
  </si>
  <si>
    <t xml:space="preserve">Total</t>
  </si>
  <si>
    <t xml:space="preserve">Hypothèse : sans abonnement, le fournisseur garde l'accès de base inclus dans la licence (une notification e-mail à J-30 par échéance).</t>
  </si>
  <si>
    <t xml:space="preserve">Exemples (formules annuelles)</t>
  </si>
  <si>
    <t xml:space="preserve">Cas</t>
  </si>
  <si>
    <t xml:space="preserve">Serveurs</t>
  </si>
  <si>
    <t xml:space="preserve">Mobile</t>
  </si>
  <si>
    <t xml:space="preserve">Espace client</t>
  </si>
  <si>
    <t xml:space="preserve">Licence seule</t>
  </si>
  <si>
    <t xml:space="preserve">Aucune</t>
  </si>
  <si>
    <t xml:space="preserve">Non</t>
  </si>
  <si>
    <t xml:space="preserve">Essentiel + options</t>
  </si>
  <si>
    <t xml:space="preserve">Pro + options</t>
  </si>
  <si>
    <t xml:space="preserve">Entreprise + options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</si>
</sst>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F&quot;;\-#,##0&quot; F&quot;;\-"/>
    <numFmt numFmtId="166" formatCode="0%"/>
    <numFmt numFmtId="167" formatCode="&quot;plus de 50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5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26.85" hidden="false" customHeight="false" outlineLevel="0" collapsed="false">
      <c r="A6" s="5" t="s">
        <v>7</v>
      </c>
      <c r="B6" s="6" t="n">
        <v>150000</v>
      </c>
      <c r="C6" s="5" t="s">
        <v>8</v>
      </c>
      <c r="D6" s="5" t="s">
        <v>9</v>
      </c>
    </row>
    <row r="7" customFormat="false" ht="26.85" hidden="false" customHeight="false" outlineLevel="0" collapsed="false">
      <c r="A7" s="5" t="s">
        <v>10</v>
      </c>
      <c r="B7" s="7" t="n">
        <f aca="false">B6*0.5</f>
        <v>75000</v>
      </c>
      <c r="C7" s="5" t="s">
        <v>11</v>
      </c>
      <c r="D7" s="5" t="s">
        <v>12</v>
      </c>
    </row>
    <row r="8" customFormat="false" ht="15" hidden="false" customHeight="false" outlineLevel="0" collapsed="false">
      <c r="A8" s="5" t="s">
        <v>13</v>
      </c>
      <c r="B8" s="6" t="n">
        <v>0</v>
      </c>
      <c r="C8" s="5" t="s">
        <v>14</v>
      </c>
      <c r="D8" s="5" t="s">
        <v>12</v>
      </c>
    </row>
    <row r="10" customFormat="false" ht="15" hidden="false" customHeight="false" outlineLevel="0" collapsed="false">
      <c r="A10" s="3" t="s">
        <v>15</v>
      </c>
    </row>
    <row r="11" customFormat="false" ht="26.85" hidden="false" customHeight="false" outlineLevel="0" collapsed="false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6</v>
      </c>
    </row>
    <row r="12" customFormat="false" ht="15" hidden="false" customHeight="false" outlineLevel="0" collapsed="false">
      <c r="A12" s="5" t="s">
        <v>22</v>
      </c>
      <c r="B12" s="8" t="n">
        <v>10</v>
      </c>
      <c r="C12" s="6" t="n">
        <v>20000</v>
      </c>
      <c r="D12" s="6" t="n">
        <v>200000</v>
      </c>
      <c r="E12" s="9" t="n">
        <f aca="false">1-D12/(C12*12)</f>
        <v>0.166666666666667</v>
      </c>
      <c r="F12" s="8" t="n">
        <v>3</v>
      </c>
      <c r="G12" s="5" t="s">
        <v>9</v>
      </c>
    </row>
    <row r="13" customFormat="false" ht="15" hidden="false" customHeight="false" outlineLevel="0" collapsed="false">
      <c r="A13" s="5" t="s">
        <v>23</v>
      </c>
      <c r="B13" s="8" t="n">
        <v>50</v>
      </c>
      <c r="C13" s="6" t="n">
        <v>60000</v>
      </c>
      <c r="D13" s="6" t="n">
        <v>500000</v>
      </c>
      <c r="E13" s="9" t="n">
        <f aca="false">1-D13/(C13*12)</f>
        <v>0.305555555555556</v>
      </c>
      <c r="F13" s="8" t="n">
        <v>10</v>
      </c>
      <c r="G13" s="5" t="s">
        <v>9</v>
      </c>
    </row>
    <row r="14" customFormat="false" ht="15" hidden="false" customHeight="false" outlineLevel="0" collapsed="false">
      <c r="A14" s="5" t="s">
        <v>24</v>
      </c>
      <c r="B14" s="10" t="n">
        <v>999999</v>
      </c>
      <c r="C14" s="6" t="n">
        <v>100000</v>
      </c>
      <c r="D14" s="6" t="n">
        <v>1000000</v>
      </c>
      <c r="E14" s="9" t="n">
        <f aca="false">1-D14/(C14*12)</f>
        <v>0.166666666666667</v>
      </c>
      <c r="F14" s="8" t="n">
        <v>25</v>
      </c>
      <c r="G14" s="5" t="s">
        <v>9</v>
      </c>
    </row>
    <row r="15" customFormat="false" ht="15" hidden="false" customHeight="false" outlineLevel="0" collapsed="false">
      <c r="A15" s="2" t="s">
        <v>25</v>
      </c>
    </row>
    <row r="17" customFormat="false" ht="15" hidden="false" customHeight="false" outlineLevel="0" collapsed="false">
      <c r="A17" s="3" t="s">
        <v>26</v>
      </c>
    </row>
    <row r="18" customFormat="false" ht="15" hidden="false" customHeight="false" outlineLevel="0" collapsed="false">
      <c r="A18" s="4" t="s">
        <v>27</v>
      </c>
      <c r="B18" s="4" t="s">
        <v>28</v>
      </c>
      <c r="C18" s="4" t="s">
        <v>29</v>
      </c>
      <c r="D18" s="4" t="s">
        <v>30</v>
      </c>
      <c r="E18" s="4" t="s">
        <v>31</v>
      </c>
      <c r="F18" s="4" t="s">
        <v>32</v>
      </c>
      <c r="G18" s="4" t="s">
        <v>33</v>
      </c>
    </row>
    <row r="19" customFormat="false" ht="15" hidden="false" customHeight="false" outlineLevel="0" collapsed="false">
      <c r="A19" s="5" t="s">
        <v>34</v>
      </c>
      <c r="B19" s="6" t="n">
        <v>5000</v>
      </c>
      <c r="C19" s="6" t="n">
        <v>50000</v>
      </c>
      <c r="D19" s="6" t="n">
        <v>15000</v>
      </c>
      <c r="E19" s="6" t="n">
        <v>150000</v>
      </c>
      <c r="F19" s="6" t="n">
        <v>25000</v>
      </c>
      <c r="G19" s="6" t="n">
        <v>250000</v>
      </c>
    </row>
    <row r="20" customFormat="false" ht="15" hidden="false" customHeight="false" outlineLevel="0" collapsed="false">
      <c r="A20" s="5" t="s">
        <v>35</v>
      </c>
      <c r="B20" s="6" t="n">
        <v>10000</v>
      </c>
      <c r="C20" s="6" t="n">
        <v>100000</v>
      </c>
      <c r="D20" s="6" t="n">
        <v>25000</v>
      </c>
      <c r="E20" s="6" t="n">
        <v>250000</v>
      </c>
      <c r="F20" s="6" t="n">
        <v>40000</v>
      </c>
      <c r="G20" s="6" t="n">
        <v>400000</v>
      </c>
    </row>
    <row r="21" customFormat="false" ht="15" hidden="false" customHeight="false" outlineLevel="0" collapsed="false">
      <c r="A21" s="5" t="s">
        <v>36</v>
      </c>
      <c r="B21" s="6" t="n">
        <v>2000</v>
      </c>
      <c r="C21" s="6" t="n">
        <v>20000</v>
      </c>
      <c r="D21" s="6" t="n">
        <v>2000</v>
      </c>
      <c r="E21" s="6" t="n">
        <v>20000</v>
      </c>
      <c r="F21" s="6" t="n">
        <v>2000</v>
      </c>
      <c r="G21" s="6" t="n">
        <v>20000</v>
      </c>
    </row>
    <row r="22" customFormat="false" ht="26.85" hidden="false" customHeight="false" outlineLevel="0" collapsed="false">
      <c r="A22" s="5" t="s">
        <v>37</v>
      </c>
      <c r="B22" s="5" t="s">
        <v>38</v>
      </c>
      <c r="C22" s="5"/>
      <c r="D22" s="5"/>
      <c r="E22" s="5"/>
      <c r="F22" s="5"/>
      <c r="G22" s="5"/>
    </row>
    <row r="23" customFormat="false" ht="15" hidden="false" customHeight="false" outlineLevel="0" collapsed="false">
      <c r="A23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11" t="s">
        <v>42</v>
      </c>
      <c r="B4" s="12" t="n">
        <v>10</v>
      </c>
    </row>
    <row r="5" customFormat="false" ht="15" hidden="false" customHeight="false" outlineLevel="0" collapsed="false">
      <c r="A5" s="11" t="s">
        <v>43</v>
      </c>
      <c r="B5" s="12" t="n">
        <v>10</v>
      </c>
    </row>
    <row r="6" customFormat="false" ht="15" hidden="false" customHeight="false" outlineLevel="0" collapsed="false">
      <c r="A6" s="11" t="s">
        <v>44</v>
      </c>
      <c r="B6" s="12" t="s">
        <v>45</v>
      </c>
    </row>
    <row r="7" customFormat="false" ht="15" hidden="false" customHeight="false" outlineLevel="0" collapsed="false">
      <c r="A7" s="11" t="s">
        <v>46</v>
      </c>
      <c r="B7" s="12" t="s">
        <v>45</v>
      </c>
    </row>
    <row r="8" customFormat="false" ht="15" hidden="false" customHeight="false" outlineLevel="0" collapsed="false">
      <c r="A8" s="11" t="s">
        <v>47</v>
      </c>
      <c r="B8" s="12" t="s">
        <v>45</v>
      </c>
    </row>
    <row r="9" customFormat="false" ht="15" hidden="false" customHeight="false" outlineLevel="0" collapsed="false">
      <c r="A9" s="11" t="s">
        <v>48</v>
      </c>
      <c r="B9" s="12" t="n">
        <v>0</v>
      </c>
    </row>
    <row r="11" customFormat="false" ht="15" hidden="false" customHeight="false" outlineLevel="0" collapsed="false">
      <c r="A11" s="0" t="s">
        <v>49</v>
      </c>
      <c r="B11" s="0" t="str">
        <f aca="false">IF(B6="Non","Aucune",IF(B5&lt;=Tarification!$B$12,"Essentiel",IF(B5&lt;=Tarification!$B$13,"Pro","Entreprise")))</f>
        <v>Essentiel</v>
      </c>
    </row>
    <row r="12" customFormat="false" ht="15" hidden="false" customHeight="false" outlineLevel="0" collapsed="false">
      <c r="A12" s="0" t="s">
        <v>50</v>
      </c>
      <c r="B12" s="0" t="n">
        <f aca="false">IF(B11="Essentiel",1,IF(B11="Pro",2,IF(B11="Entreprise",3,0)))</f>
        <v>1</v>
      </c>
    </row>
    <row r="14" customFormat="false" ht="15" hidden="false" customHeight="false" outlineLevel="0" collapsed="false">
      <c r="A14" s="4" t="s">
        <v>51</v>
      </c>
      <c r="B14" s="4" t="s">
        <v>52</v>
      </c>
      <c r="C14" s="4" t="s">
        <v>53</v>
      </c>
    </row>
    <row r="15" customFormat="false" ht="15" hidden="false" customHeight="false" outlineLevel="0" collapsed="false">
      <c r="A15" s="5" t="s">
        <v>54</v>
      </c>
      <c r="B15" s="7" t="n">
        <f aca="false">B4*Tarification!$B$6</f>
        <v>1500000</v>
      </c>
      <c r="C15" s="7" t="n">
        <f aca="false">0</f>
        <v>0</v>
      </c>
    </row>
    <row r="16" customFormat="false" ht="15" hidden="false" customHeight="false" outlineLevel="0" collapsed="false">
      <c r="A16" s="5" t="s">
        <v>55</v>
      </c>
      <c r="B16" s="7" t="n">
        <f aca="false">IF(B12=0,0,INDEX(Tarification!$D$12:$D$14,B12))</f>
        <v>200000</v>
      </c>
      <c r="C16" s="7" t="n">
        <f aca="false">B16</f>
        <v>200000</v>
      </c>
    </row>
    <row r="17" customFormat="false" ht="15" hidden="false" customHeight="false" outlineLevel="0" collapsed="false">
      <c r="A17" s="5" t="s">
        <v>56</v>
      </c>
      <c r="B17" s="7" t="n">
        <f aca="false">IF(OR(B12=0,B7="Non"),0,INDEX(Tarification!$C$19:$G$19,B12*2-1))</f>
        <v>50000</v>
      </c>
      <c r="C17" s="7" t="n">
        <f aca="false">B17</f>
        <v>50000</v>
      </c>
    </row>
    <row r="18" customFormat="false" ht="15" hidden="false" customHeight="false" outlineLevel="0" collapsed="false">
      <c r="A18" s="5" t="s">
        <v>57</v>
      </c>
      <c r="B18" s="7" t="n">
        <f aca="false">IF(OR(B12=0,B8="Non"),0,INDEX(Tarification!$C$20:$G$20,B12*2-1))</f>
        <v>100000</v>
      </c>
      <c r="C18" s="7" t="n">
        <f aca="false">B18</f>
        <v>100000</v>
      </c>
    </row>
    <row r="19" customFormat="false" ht="15" hidden="false" customHeight="false" outlineLevel="0" collapsed="false">
      <c r="A19" s="5" t="s">
        <v>58</v>
      </c>
      <c r="B19" s="7" t="n">
        <f aca="false">IF(B12=0,0,B9*Tarification!$C$21)</f>
        <v>0</v>
      </c>
      <c r="C19" s="7" t="n">
        <f aca="false">B19</f>
        <v>0</v>
      </c>
    </row>
    <row r="20" customFormat="false" ht="15" hidden="false" customHeight="false" outlineLevel="0" collapsed="false">
      <c r="A20" s="13" t="s">
        <v>59</v>
      </c>
      <c r="B20" s="14" t="n">
        <f aca="false">SUM(B15:B19)</f>
        <v>1850000</v>
      </c>
      <c r="C20" s="14" t="n">
        <f aca="false">SUM(C15:C19)</f>
        <v>350000</v>
      </c>
    </row>
    <row r="22" customFormat="false" ht="15" hidden="false" customHeight="false" outlineLevel="0" collapsed="false">
      <c r="A22" s="2" t="s">
        <v>60</v>
      </c>
    </row>
  </sheetData>
  <dataValidations count="1">
    <dataValidation allowBlank="false" errorStyle="stop" operator="between" showDropDown="false" showErrorMessage="false" showInputMessage="false" sqref="B6:B8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61</v>
      </c>
    </row>
    <row r="3" customFormat="false" ht="26.85" hidden="false" customHeight="false" outlineLevel="0" collapsed="false">
      <c r="A3" s="4" t="s">
        <v>62</v>
      </c>
      <c r="B3" s="4" t="s">
        <v>63</v>
      </c>
      <c r="C3" s="4" t="s">
        <v>16</v>
      </c>
      <c r="D3" s="4" t="s">
        <v>64</v>
      </c>
      <c r="E3" s="4" t="s">
        <v>65</v>
      </c>
      <c r="F3" s="4" t="s">
        <v>52</v>
      </c>
      <c r="G3" s="4" t="s">
        <v>53</v>
      </c>
    </row>
    <row r="4" customFormat="false" ht="15" hidden="false" customHeight="false" outlineLevel="0" collapsed="false">
      <c r="A4" s="5" t="s">
        <v>66</v>
      </c>
      <c r="B4" s="8" t="n">
        <v>3</v>
      </c>
      <c r="C4" s="8" t="s">
        <v>67</v>
      </c>
      <c r="D4" s="8" t="s">
        <v>68</v>
      </c>
      <c r="E4" s="8" t="s">
        <v>68</v>
      </c>
      <c r="F4" s="7" t="n">
        <f aca="false">B4*Tarification!$B$6+G4</f>
        <v>450000</v>
      </c>
      <c r="G4" s="7" t="n">
        <f aca="false">IF(IF(C4="Essentiel",1,IF(C4="Pro",2,IF(C4="Entreprise",3,0)))=0,0,INDEX(Tarification!$D$12:$D$14,IF(C4="Essentiel",1,IF(C4="Pro",2,IF(C4="Entreprise",3,0))))+IF(D4="Oui",INDEX(Tarification!$C$19:$G$19,IF(C4="Essentiel",1,IF(C4="Pro",2,IF(C4="Entreprise",3,0)))*2-1),0)+IF(E4="Oui",INDEX(Tarification!$C$20:$G$20,IF(C4="Essentiel",1,IF(C4="Pro",2,IF(C4="Entreprise",3,0)))*2-1),0))</f>
        <v>0</v>
      </c>
    </row>
    <row r="5" customFormat="false" ht="15" hidden="false" customHeight="false" outlineLevel="0" collapsed="false">
      <c r="A5" s="5" t="s">
        <v>22</v>
      </c>
      <c r="B5" s="8" t="n">
        <v>10</v>
      </c>
      <c r="C5" s="8" t="s">
        <v>22</v>
      </c>
      <c r="D5" s="8" t="s">
        <v>68</v>
      </c>
      <c r="E5" s="8" t="s">
        <v>68</v>
      </c>
      <c r="F5" s="7" t="n">
        <f aca="false">B5*Tarification!$B$6+G5</f>
        <v>1700000</v>
      </c>
      <c r="G5" s="7" t="n">
        <f aca="false">IF(IF(C5="Essentiel",1,IF(C5="Pro",2,IF(C5="Entreprise",3,0)))=0,0,INDEX(Tarification!$D$12:$D$14,IF(C5="Essentiel",1,IF(C5="Pro",2,IF(C5="Entreprise",3,0))))+IF(D5="Oui",INDEX(Tarification!$C$19:$G$19,IF(C5="Essentiel",1,IF(C5="Pro",2,IF(C5="Entreprise",3,0)))*2-1),0)+IF(E5="Oui",INDEX(Tarification!$C$20:$G$20,IF(C5="Essentiel",1,IF(C5="Pro",2,IF(C5="Entreprise",3,0)))*2-1),0))</f>
        <v>200000</v>
      </c>
    </row>
    <row r="6" customFormat="false" ht="15" hidden="false" customHeight="false" outlineLevel="0" collapsed="false">
      <c r="A6" s="5" t="s">
        <v>69</v>
      </c>
      <c r="B6" s="8" t="n">
        <v>10</v>
      </c>
      <c r="C6" s="8" t="s">
        <v>22</v>
      </c>
      <c r="D6" s="8" t="s">
        <v>45</v>
      </c>
      <c r="E6" s="8" t="s">
        <v>45</v>
      </c>
      <c r="F6" s="7" t="n">
        <f aca="false">B6*Tarification!$B$6+G6</f>
        <v>1850000</v>
      </c>
      <c r="G6" s="7" t="n">
        <f aca="false">IF(IF(C6="Essentiel",1,IF(C6="Pro",2,IF(C6="Entreprise",3,0)))=0,0,INDEX(Tarification!$D$12:$D$14,IF(C6="Essentiel",1,IF(C6="Pro",2,IF(C6="Entreprise",3,0))))+IF(D6="Oui",INDEX(Tarification!$C$19:$G$19,IF(C6="Essentiel",1,IF(C6="Pro",2,IF(C6="Entreprise",3,0)))*2-1),0)+IF(E6="Oui",INDEX(Tarification!$C$20:$G$20,IF(C6="Essentiel",1,IF(C6="Pro",2,IF(C6="Entreprise",3,0)))*2-1),0))</f>
        <v>350000</v>
      </c>
    </row>
    <row r="7" customFormat="false" ht="15" hidden="false" customHeight="false" outlineLevel="0" collapsed="false">
      <c r="A7" s="5" t="s">
        <v>23</v>
      </c>
      <c r="B7" s="8" t="n">
        <v>30</v>
      </c>
      <c r="C7" s="8" t="s">
        <v>23</v>
      </c>
      <c r="D7" s="8" t="s">
        <v>68</v>
      </c>
      <c r="E7" s="8" t="s">
        <v>68</v>
      </c>
      <c r="F7" s="7" t="n">
        <f aca="false">B7*Tarification!$B$6+G7</f>
        <v>5000000</v>
      </c>
      <c r="G7" s="7" t="n">
        <f aca="false">IF(IF(C7="Essentiel",1,IF(C7="Pro",2,IF(C7="Entreprise",3,0)))=0,0,INDEX(Tarification!$D$12:$D$14,IF(C7="Essentiel",1,IF(C7="Pro",2,IF(C7="Entreprise",3,0))))+IF(D7="Oui",INDEX(Tarification!$C$19:$G$19,IF(C7="Essentiel",1,IF(C7="Pro",2,IF(C7="Entreprise",3,0)))*2-1),0)+IF(E7="Oui",INDEX(Tarification!$C$20:$G$20,IF(C7="Essentiel",1,IF(C7="Pro",2,IF(C7="Entreprise",3,0)))*2-1),0))</f>
        <v>500000</v>
      </c>
    </row>
    <row r="8" customFormat="false" ht="15" hidden="false" customHeight="false" outlineLevel="0" collapsed="false">
      <c r="A8" s="5" t="s">
        <v>70</v>
      </c>
      <c r="B8" s="8" t="n">
        <v>30</v>
      </c>
      <c r="C8" s="8" t="s">
        <v>23</v>
      </c>
      <c r="D8" s="8" t="s">
        <v>45</v>
      </c>
      <c r="E8" s="8" t="s">
        <v>45</v>
      </c>
      <c r="F8" s="7" t="n">
        <f aca="false">B8*Tarification!$B$6+G8</f>
        <v>5400000</v>
      </c>
      <c r="G8" s="7" t="n">
        <f aca="false">IF(IF(C8="Essentiel",1,IF(C8="Pro",2,IF(C8="Entreprise",3,0)))=0,0,INDEX(Tarification!$D$12:$D$14,IF(C8="Essentiel",1,IF(C8="Pro",2,IF(C8="Entreprise",3,0))))+IF(D8="Oui",INDEX(Tarification!$C$19:$G$19,IF(C8="Essentiel",1,IF(C8="Pro",2,IF(C8="Entreprise",3,0)))*2-1),0)+IF(E8="Oui",INDEX(Tarification!$C$20:$G$20,IF(C8="Essentiel",1,IF(C8="Pro",2,IF(C8="Entreprise",3,0)))*2-1),0))</f>
        <v>900000</v>
      </c>
    </row>
    <row r="9" customFormat="false" ht="15" hidden="false" customHeight="false" outlineLevel="0" collapsed="false">
      <c r="A9" s="5" t="s">
        <v>71</v>
      </c>
      <c r="B9" s="8" t="n">
        <v>80</v>
      </c>
      <c r="C9" s="8" t="s">
        <v>24</v>
      </c>
      <c r="D9" s="8" t="s">
        <v>45</v>
      </c>
      <c r="E9" s="8" t="s">
        <v>45</v>
      </c>
      <c r="F9" s="7" t="n">
        <f aca="false">B9*Tarification!$B$6+G9</f>
        <v>13650000</v>
      </c>
      <c r="G9" s="7" t="n">
        <f aca="false">IF(IF(C9="Essentiel",1,IF(C9="Pro",2,IF(C9="Entreprise",3,0)))=0,0,INDEX(Tarification!$D$12:$D$14,IF(C9="Essentiel",1,IF(C9="Pro",2,IF(C9="Entreprise",3,0))))+IF(D9="Oui",INDEX(Tarification!$C$19:$G$19,IF(C9="Essentiel",1,IF(C9="Pro",2,IF(C9="Entreprise",3,0)))*2-1),0)+IF(E9="Oui",INDEX(Tarification!$C$20:$G$20,IF(C9="Essentiel",1,IF(C9="Pro",2,IF(C9="Entreprise",3,0)))*2-1),0))</f>
        <v>1650000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2026-10-01T19:00:45Z</dcterms:created>
  <dc:creator>openpyxl</dc:creator>
  <dc:description/>
  <dc:language>en-US</dc:language>
  <cp:lastModifiedBy/>
  <dcterms:modified xsi:type="dcterms:W3CDTF">2026-10-01T19:00:45Z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